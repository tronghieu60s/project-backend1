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9D79D274-9FA1-4E0D-9359-38318BC0E5DC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E17" i="1" l="1"/>
  <c r="E13" i="1"/>
  <c r="B23" i="1"/>
  <c r="F23" i="1" l="1"/>
  <c r="C23" i="1"/>
  <c r="D23" i="1"/>
  <c r="G23" i="1"/>
  <c r="O23" i="1"/>
  <c r="P22" i="1"/>
  <c r="P21" i="1"/>
  <c r="P20" i="1"/>
  <c r="F16" i="1"/>
  <c r="F15" i="1"/>
  <c r="F14" i="1"/>
  <c r="C13" i="1"/>
  <c r="F12" i="1"/>
  <c r="F11" i="1"/>
  <c r="F10" i="1"/>
  <c r="F9" i="1"/>
  <c r="F8" i="1"/>
  <c r="F7" i="1"/>
  <c r="F6" i="1"/>
  <c r="F5" i="1"/>
  <c r="F4" i="1"/>
  <c r="F3" i="1"/>
  <c r="E2" i="1"/>
  <c r="C2" i="1"/>
  <c r="H23" i="1" l="1"/>
  <c r="L23" i="1"/>
  <c r="E23" i="1"/>
  <c r="I23" i="1"/>
  <c r="M23" i="1"/>
  <c r="J23" i="1"/>
  <c r="N23" i="1"/>
  <c r="K23" i="1"/>
</calcChain>
</file>

<file path=xl/sharedStrings.xml><?xml version="1.0" encoding="utf-8"?>
<sst xmlns="http://schemas.openxmlformats.org/spreadsheetml/2006/main" count="59" uniqueCount="29">
  <si>
    <t>STT</t>
  </si>
  <si>
    <t>Yêu cầu chức năng</t>
  </si>
  <si>
    <t>Điểm tổng</t>
  </si>
  <si>
    <t>Điểm thành phần</t>
  </si>
  <si>
    <t>Điểm nhóm</t>
  </si>
  <si>
    <t>Phần người dùng</t>
  </si>
  <si>
    <t>Dữ liệu hợp lý</t>
  </si>
  <si>
    <t>1xSL</t>
  </si>
  <si>
    <t>Trang chủ (hiển thị menu, các sản phẩm nổi bật, mới nhất, mới về ,.. phân từng loại)</t>
  </si>
  <si>
    <t>Trang chi tiết (chi tiết sản phẩm, các sản phẩm liên quan,..)</t>
  </si>
  <si>
    <t>Trang phân loại (hiện sản phẩm theo loại tương ứng</t>
  </si>
  <si>
    <t>1x(SL-1)</t>
  </si>
  <si>
    <t>Trang kết quả tìm kiếm (hiện kết quả với từ khóa tương ứng, phân trang kết quả tìm kiếm)</t>
  </si>
  <si>
    <t>Trang giỏ hàng (hiện đúng sản phẩm trong giỏ hàng, tăng/ giảm số lượng trong giỏ hàng)</t>
  </si>
  <si>
    <t>Trang xem đơn hàng (xem lại đơn hàng của người dùng đăng ký, hoặc khách, tùy nhóm thiết kế DB)</t>
  </si>
  <si>
    <t>Trang login/logout (Thực hiện đúng chức năng)</t>
  </si>
  <si>
    <t>Trang regisgter (Thực hiện đúng chức năng)</t>
  </si>
  <si>
    <t>Chức năng khác (bình luận, đánh giá sản phẩm,..)</t>
  </si>
  <si>
    <t>Phần admin</t>
  </si>
  <si>
    <t>Trang chủ (hiển thị dạng bảng các sản phẩm trong DB, sản phẩm mới sẽ hiện lên đầu, phân trang)</t>
  </si>
  <si>
    <t>Trang xem ds, thêm/xóa/sửa các bảng trong CSDL (prducts, manufactures, protypes, user,..)</t>
  </si>
  <si>
    <t>Trang cấu hình website (giới hạn dung lượng upload hình, đổi logo website, slider,..)</t>
  </si>
  <si>
    <t>Thông tin nhóm ...</t>
  </si>
  <si>
    <t>Nội dung công việc (dò theo STT ở bảng trên)</t>
  </si>
  <si>
    <t>Điểm</t>
  </si>
  <si>
    <t>Họ Tên</t>
  </si>
  <si>
    <t>Trần Trong Hiếu</t>
  </si>
  <si>
    <t>Trần Quốc Trị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</si>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</sst>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color theme="1"/>
      <name val="Arial"/>
    </font>
    <font>
      <b/>
      <sz val="10"/>
      <color theme="1"/>
      <name val="Arial"/>
    </font>
    <font>
      <sz val="10"/>
      <name val="Arial"/>
    </font>
    <font>
      <sz val="10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4C1130"/>
        <bgColor rgb="FF4C1130"/>
      </patternFill>
    </fill>
    <fill>
      <patternFill patternType="solid">
        <fgColor rgb="FFD5A6BD"/>
        <bgColor rgb="FFD5A6BD"/>
      </patternFill>
    </fill>
    <fill>
      <patternFill patternType="solid">
        <fgColor rgb="FFC27BA0"/>
        <bgColor rgb="FFC27BA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0" xfId="0" applyFont="1" applyAlignment="1"/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2" fillId="0" borderId="2" xfId="0" applyFont="1" applyBorder="1" applyAlignment="1"/>
    <xf numFmtId="0" fontId="2" fillId="0" borderId="1" xfId="0" applyFont="1" applyBorder="1" applyAlignment="1">
      <alignment wrapText="1"/>
    </xf>
    <xf numFmtId="0" fontId="2" fillId="0" borderId="1" xfId="0" applyFont="1" applyBorder="1" applyAlignment="1"/>
    <xf numFmtId="0" fontId="2" fillId="0" borderId="1" xfId="0" applyFont="1" applyBorder="1" applyAlignment="1">
      <alignment horizontal="center"/>
    </xf>
    <xf numFmtId="0" fontId="2" fillId="0" borderId="0" xfId="0" applyFont="1"/>
    <xf numFmtId="0" fontId="3" fillId="3" borderId="1" xfId="0" applyFont="1" applyFill="1" applyBorder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 wrapText="1"/>
    </xf>
    <xf numFmtId="0" fontId="2" fillId="0" borderId="0" xfId="0" applyFont="1" applyAlignment="1"/>
    <xf numFmtId="0" fontId="2" fillId="0" borderId="1" xfId="0" applyFont="1" applyBorder="1"/>
    <xf numFmtId="0" fontId="2" fillId="0" borderId="0" xfId="0" applyFont="1" applyAlignment="1" applyProtection="1"/>
    <xf numFmtId="0" fontId="2" fillId="0" borderId="0" xfId="0" applyFont="1" applyAlignment="1" applyProtection="1">
      <alignment wrapText="1"/>
    </xf>
    <xf numFmtId="0" fontId="0" fillId="0" borderId="0" xfId="0" applyFont="1" applyAlignment="1" applyProtection="1"/>
    <xf numFmtId="0" fontId="3" fillId="3" borderId="2" xfId="0" applyFont="1" applyFill="1" applyBorder="1" applyAlignment="1">
      <alignment horizontal="center"/>
    </xf>
    <xf numFmtId="0" fontId="4" fillId="0" borderId="3" xfId="0" applyFont="1" applyBorder="1"/>
    <xf numFmtId="0" fontId="5" fillId="2" borderId="0" xfId="0" applyFont="1" applyFill="1" applyAlignment="1">
      <alignment horizontal="center"/>
    </xf>
    <xf numFmtId="0" fontId="0" fillId="0" borderId="0" xfId="0" applyFont="1" applyAlignment="1"/>
    <xf numFmtId="0" fontId="5" fillId="2" borderId="5" xfId="0" applyFont="1" applyFill="1" applyBorder="1" applyAlignment="1">
      <alignment horizontal="center" vertical="center"/>
    </xf>
    <xf numFmtId="0" fontId="4" fillId="0" borderId="6" xfId="0" applyFont="1" applyBorder="1"/>
  </cellXfs>
  <cellStyles count="1">
    <cellStyle name="Normal" xfId="0" builtinId="0"/>
  </cellStyles>
  <dxfs count="2"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3"/>
  <sheetViews>
    <sheetView tabSelected="1" topLeftCell="A13" zoomScaleNormal="100" workbookViewId="0">
      <selection activeCell="C18" sqref="C18:N18"/>
    </sheetView>
  </sheetViews>
  <sheetFormatPr defaultColWidth="14.453125" defaultRowHeight="14.5" x14ac:dyDescent="0.35"/>
  <cols>
    <col min="1" max="1" width="6.26953125" style="4" customWidth="1"/>
    <col min="2" max="2" width="22.54296875" style="4" customWidth="1"/>
    <col min="3" max="3" width="6.54296875" style="4" customWidth="1"/>
    <col min="4" max="4" width="10" style="4" customWidth="1"/>
    <col min="5" max="14" width="6.54296875" style="4" customWidth="1"/>
    <col min="15" max="16" width="7.81640625" style="4" customWidth="1"/>
    <col min="17" max="19" width="4.26953125" style="4" customWidth="1"/>
    <col min="20" max="16384" width="14.453125" style="4"/>
  </cols>
  <sheetData>
    <row r="1" spans="1:27" ht="39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35">
      <c r="A2" s="21" t="s">
        <v>5</v>
      </c>
      <c r="B2" s="22"/>
      <c r="C2" s="5">
        <f>SUM(C3:C12)</f>
        <v>5</v>
      </c>
      <c r="D2" s="6"/>
      <c r="E2" s="6">
        <f>SUM(E3:E12)</f>
        <v>5</v>
      </c>
    </row>
    <row r="3" spans="1:27" x14ac:dyDescent="0.35">
      <c r="A3" s="7">
        <v>1</v>
      </c>
      <c r="B3" s="8" t="s">
        <v>6</v>
      </c>
      <c r="C3" s="9">
        <v>0.5</v>
      </c>
      <c r="D3" s="10" t="s">
        <v>7</v>
      </c>
      <c r="E3" s="10">
        <v>0.5</v>
      </c>
      <c r="F3" s="11" t="str">
        <f t="shared" ref="F3:F12" si="0">IF(E3&gt;C3,"Điểm phải nhỏ hơn điểm tổng","")</f>
        <v/>
      </c>
    </row>
    <row r="4" spans="1:27" ht="51" x14ac:dyDescent="0.35">
      <c r="A4" s="9">
        <v>2</v>
      </c>
      <c r="B4" s="8" t="s">
        <v>8</v>
      </c>
      <c r="C4" s="9">
        <v>0.5</v>
      </c>
      <c r="D4" s="10">
        <v>1</v>
      </c>
      <c r="E4" s="10">
        <v>0.5</v>
      </c>
      <c r="F4" s="11" t="str">
        <f t="shared" si="0"/>
        <v/>
      </c>
    </row>
    <row r="5" spans="1:27" ht="38.5" x14ac:dyDescent="0.35">
      <c r="A5" s="7">
        <v>3</v>
      </c>
      <c r="B5" s="8" t="s">
        <v>9</v>
      </c>
      <c r="C5" s="9">
        <v>0.5</v>
      </c>
      <c r="D5" s="10">
        <v>1</v>
      </c>
      <c r="E5" s="10">
        <v>0.5</v>
      </c>
      <c r="F5" s="11" t="str">
        <f t="shared" si="0"/>
        <v/>
      </c>
    </row>
    <row r="6" spans="1:27" ht="26" x14ac:dyDescent="0.35">
      <c r="A6" s="9">
        <v>4</v>
      </c>
      <c r="B6" s="8" t="s">
        <v>10</v>
      </c>
      <c r="C6" s="9">
        <v>0.25</v>
      </c>
      <c r="D6" s="10" t="s">
        <v>11</v>
      </c>
      <c r="E6" s="10">
        <v>0.25</v>
      </c>
      <c r="F6" s="11" t="str">
        <f t="shared" si="0"/>
        <v/>
      </c>
    </row>
    <row r="7" spans="1:27" ht="51" x14ac:dyDescent="0.35">
      <c r="A7" s="7">
        <v>5</v>
      </c>
      <c r="B7" s="8" t="s">
        <v>12</v>
      </c>
      <c r="C7" s="9">
        <v>0.25</v>
      </c>
      <c r="D7" s="10">
        <v>1</v>
      </c>
      <c r="E7" s="10">
        <v>0.25</v>
      </c>
      <c r="F7" s="11" t="str">
        <f t="shared" si="0"/>
        <v/>
      </c>
    </row>
    <row r="8" spans="1:27" ht="51" x14ac:dyDescent="0.35">
      <c r="A8" s="9">
        <v>6</v>
      </c>
      <c r="B8" s="8" t="s">
        <v>13</v>
      </c>
      <c r="C8" s="9">
        <v>1</v>
      </c>
      <c r="D8" s="10" t="s">
        <v>7</v>
      </c>
      <c r="E8" s="10">
        <v>1</v>
      </c>
      <c r="F8" s="11" t="str">
        <f t="shared" si="0"/>
        <v/>
      </c>
    </row>
    <row r="9" spans="1:27" ht="51" x14ac:dyDescent="0.35">
      <c r="A9" s="7">
        <v>7</v>
      </c>
      <c r="B9" s="8" t="s">
        <v>14</v>
      </c>
      <c r="C9" s="9">
        <v>0.5</v>
      </c>
      <c r="D9" s="10" t="s">
        <v>7</v>
      </c>
      <c r="E9" s="10">
        <v>0.5</v>
      </c>
      <c r="F9" s="11" t="str">
        <f t="shared" si="0"/>
        <v/>
      </c>
    </row>
    <row r="10" spans="1:27" ht="26" x14ac:dyDescent="0.35">
      <c r="A10" s="9">
        <v>8</v>
      </c>
      <c r="B10" s="8" t="s">
        <v>15</v>
      </c>
      <c r="C10" s="9">
        <v>0.5</v>
      </c>
      <c r="D10" s="10" t="s">
        <v>7</v>
      </c>
      <c r="E10" s="10">
        <v>0.5</v>
      </c>
      <c r="F10" s="11" t="str">
        <f t="shared" si="0"/>
        <v/>
      </c>
    </row>
    <row r="11" spans="1:27" ht="26" x14ac:dyDescent="0.35">
      <c r="A11" s="7">
        <v>9</v>
      </c>
      <c r="B11" s="8" t="s">
        <v>16</v>
      </c>
      <c r="C11" s="9">
        <v>0.5</v>
      </c>
      <c r="D11" s="10" t="s">
        <v>7</v>
      </c>
      <c r="E11" s="10">
        <v>0.5</v>
      </c>
      <c r="F11" s="11" t="str">
        <f t="shared" si="0"/>
        <v/>
      </c>
    </row>
    <row r="12" spans="1:27" ht="38.5" x14ac:dyDescent="0.35">
      <c r="A12" s="9">
        <v>10</v>
      </c>
      <c r="B12" s="8" t="s">
        <v>17</v>
      </c>
      <c r="C12" s="9">
        <v>0.5</v>
      </c>
      <c r="D12" s="10" t="s">
        <v>7</v>
      </c>
      <c r="E12" s="10">
        <v>0.5</v>
      </c>
      <c r="F12" s="11" t="str">
        <f t="shared" si="0"/>
        <v/>
      </c>
    </row>
    <row r="13" spans="1:27" x14ac:dyDescent="0.35">
      <c r="A13" s="21" t="s">
        <v>18</v>
      </c>
      <c r="B13" s="22"/>
      <c r="C13" s="5">
        <f>SUM(C14:C16)</f>
        <v>5</v>
      </c>
      <c r="D13" s="6"/>
      <c r="E13" s="6">
        <f>SUM(E14:E16)</f>
        <v>5</v>
      </c>
    </row>
    <row r="14" spans="1:27" ht="51" x14ac:dyDescent="0.35">
      <c r="A14" s="9">
        <v>11</v>
      </c>
      <c r="B14" s="8" t="s">
        <v>19</v>
      </c>
      <c r="C14" s="9">
        <v>1</v>
      </c>
      <c r="D14" s="10" t="s">
        <v>7</v>
      </c>
      <c r="E14" s="10">
        <v>1</v>
      </c>
      <c r="F14" s="11" t="str">
        <f t="shared" ref="F14:F16" si="1">IF(E14&gt;C14,"Điểm phải nhỏ hơn điểm tổng","")</f>
        <v/>
      </c>
    </row>
    <row r="15" spans="1:27" ht="63.5" x14ac:dyDescent="0.35">
      <c r="A15" s="9">
        <v>12</v>
      </c>
      <c r="B15" s="8" t="s">
        <v>20</v>
      </c>
      <c r="C15" s="9">
        <v>3</v>
      </c>
      <c r="D15" s="10" t="s">
        <v>7</v>
      </c>
      <c r="E15" s="10">
        <v>3</v>
      </c>
      <c r="F15" s="11" t="str">
        <f t="shared" si="1"/>
        <v/>
      </c>
    </row>
    <row r="16" spans="1:27" ht="51" x14ac:dyDescent="0.35">
      <c r="A16" s="9">
        <v>13</v>
      </c>
      <c r="B16" s="8" t="s">
        <v>21</v>
      </c>
      <c r="C16" s="9">
        <v>1</v>
      </c>
      <c r="D16" s="10" t="s">
        <v>7</v>
      </c>
      <c r="E16" s="10">
        <v>1</v>
      </c>
      <c r="F16" s="11" t="str">
        <f t="shared" si="1"/>
        <v/>
      </c>
    </row>
    <row r="17" spans="1:16" x14ac:dyDescent="0.35">
      <c r="E17" s="12">
        <f>E2+E13</f>
        <v>10</v>
      </c>
    </row>
    <row r="18" spans="1:16" x14ac:dyDescent="0.35">
      <c r="A18" s="23" t="s">
        <v>22</v>
      </c>
      <c r="B18" s="24"/>
      <c r="C18" s="23" t="s">
        <v>23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13"/>
      <c r="P18" s="25" t="s">
        <v>24</v>
      </c>
    </row>
    <row r="19" spans="1:16" x14ac:dyDescent="0.35">
      <c r="A19" s="14" t="s">
        <v>0</v>
      </c>
      <c r="B19" s="14" t="s">
        <v>25</v>
      </c>
      <c r="C19" s="15">
        <v>1</v>
      </c>
      <c r="D19" s="15">
        <v>2</v>
      </c>
      <c r="E19" s="15">
        <v>3</v>
      </c>
      <c r="F19" s="15">
        <v>4</v>
      </c>
      <c r="G19" s="15">
        <v>5</v>
      </c>
      <c r="H19" s="15">
        <v>6</v>
      </c>
      <c r="I19" s="15">
        <v>7</v>
      </c>
      <c r="J19" s="15">
        <v>8</v>
      </c>
      <c r="K19" s="15">
        <v>9</v>
      </c>
      <c r="L19" s="15">
        <v>10</v>
      </c>
      <c r="M19" s="15">
        <v>11</v>
      </c>
      <c r="N19" s="15">
        <v>12</v>
      </c>
      <c r="O19" s="15">
        <v>13</v>
      </c>
      <c r="P19" s="26"/>
    </row>
    <row r="20" spans="1:16" x14ac:dyDescent="0.35">
      <c r="A20" s="9">
        <v>1</v>
      </c>
      <c r="B20" s="16" t="s">
        <v>26</v>
      </c>
      <c r="C20" s="9" t="s">
        <v>28</v>
      </c>
      <c r="D20" s="9" t="s">
        <v>28</v>
      </c>
      <c r="E20" s="9" t="s">
        <v>28</v>
      </c>
      <c r="F20" s="9" t="s">
        <v>28</v>
      </c>
      <c r="G20" s="9" t="s">
        <v>28</v>
      </c>
      <c r="H20" s="9" t="s">
        <v>28</v>
      </c>
      <c r="I20" s="9" t="s">
        <v>28</v>
      </c>
      <c r="J20" s="9" t="s">
        <v>28</v>
      </c>
      <c r="K20" s="9" t="s">
        <v>28</v>
      </c>
      <c r="L20" s="9" t="s">
        <v>28</v>
      </c>
      <c r="M20" s="9" t="s">
        <v>28</v>
      </c>
      <c r="N20" s="9" t="s">
        <v>28</v>
      </c>
      <c r="O20" s="9" t="s">
        <v>28</v>
      </c>
      <c r="P20" s="17">
        <f t="shared" ref="P20:P22" si="2">IF((COUNTA(C20)*$E$3+COUNTA(D20)*$E$4+COUNTA(E20)*$E$5+COUNTA(F20)*$E$6+COUNTA(G20)*$E$7+COUNTA(H20)*$E$8+COUNTA(I20)*$E$9+COUNTA(J20)*$E$10+COUNTA(K20)*$E$11+COUNTA(L20)*$E$12+COUNTA(M20)*$E$14+COUNTA(N20)*$E$15+COUNTA(O20)*$E$16) &gt;10, 10,COUNTA(C20)*$E$3+COUNTA(D20)*$E$4+COUNTA(E20)*$E$5+COUNTA(F20)*$E$6+COUNTA(G20)*$E$7+COUNTA(H20)*$E$8+COUNTA(I20)*$E$9+COUNTA(J20)*$E$10+COUNTA(K20)*$E$11+COUNTA(L20)*$E$12+COUNTA(M20)*$E$14+COUNTA(N20)*$E$15+COUNTA(O20)*$E$16)</f>
        <v>10</v>
      </c>
    </row>
    <row r="21" spans="1:16" x14ac:dyDescent="0.35">
      <c r="A21" s="9">
        <v>2</v>
      </c>
      <c r="B21" s="9" t="s">
        <v>27</v>
      </c>
      <c r="C21" s="9" t="s">
        <v>28</v>
      </c>
      <c r="D21" s="9"/>
      <c r="E21" s="9"/>
      <c r="F21" s="9"/>
      <c r="G21" s="9"/>
      <c r="H21" s="9" t="s">
        <v>28</v>
      </c>
      <c r="I21" s="9" t="s">
        <v>28</v>
      </c>
      <c r="J21" s="9" t="s">
        <v>28</v>
      </c>
      <c r="K21" s="9" t="s">
        <v>28</v>
      </c>
      <c r="L21" s="9" t="s">
        <v>28</v>
      </c>
      <c r="M21" s="9" t="s">
        <v>28</v>
      </c>
      <c r="N21" s="9" t="s">
        <v>28</v>
      </c>
      <c r="O21" s="9" t="s">
        <v>28</v>
      </c>
      <c r="P21" s="17">
        <f t="shared" si="2"/>
        <v>8.5</v>
      </c>
    </row>
    <row r="22" spans="1:16" x14ac:dyDescent="0.35">
      <c r="A22" s="9">
        <v>3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17">
        <f t="shared" si="2"/>
        <v>0</v>
      </c>
    </row>
    <row r="23" spans="1:16" ht="43.5" customHeight="1" x14ac:dyDescent="0.35">
      <c r="B23" s="18">
        <f>COUNTA(B20:B22)</f>
        <v>2</v>
      </c>
      <c r="C23" s="19" t="str">
        <f>IF(AND(E3=0,COUNTIF(C20:C22,"x")&gt;0),"tối đa 0 dấu x",IF(COUNTIF(C20:C22,"x")&lt;=B23,"","tối đa "&amp;B23&amp;" dấu x"))</f>
        <v/>
      </c>
      <c r="D23" s="19" t="str">
        <f>IF(AND(E4=0,COUNTIF(D20:D22,"x")&gt;0),"tối đa 0 dấu x",IF(COUNTIF(D20:D22,"x")&lt;=1,"","tối đa 1 dấu x"))</f>
        <v/>
      </c>
      <c r="E23" s="19" t="str">
        <f>IF(AND(E5=0,COUNTIF(E20:E22,"x")&gt;0),"tối đa 0 dấu x",IF(AND(B23=1,COUNTIF(E20:E22,"x")&gt;1),"tối đa 1 dấu x",IF(AND(B23&gt;1,COUNTIF(E20:E22,"x")&gt;(B23-1)),"tối đa "&amp;B23-1&amp;" dấu x","")))</f>
        <v/>
      </c>
      <c r="F23" s="19" t="str">
        <f>IF(AND(E6=0,COUNTIF(F20:F22,"x")&gt;0),"tối đa 0 dấu x",IF(COUNTIF(F20:F22,"x")&lt;=1,"","tối đa 1 dấu x"))</f>
        <v/>
      </c>
      <c r="G23" s="19" t="str">
        <f>IF(AND(E7=0,COUNTIF(G20:G22,"x")&gt;0),"tối đa 0 dấu x",IF(COUNTIF(G20:G22,"x")&lt;=1,"","tối đa 1 dấu x"))</f>
        <v/>
      </c>
      <c r="H23" s="19" t="str">
        <f>IF(AND(E8=0,COUNTIF(H20:H22,"x")&gt;0),"tối đa 0 dấu x",IF(COUNTIF(H20:H22,"x")&lt;=$B$23,"","tối đa "&amp;$B$23&amp;" dấu x"))</f>
        <v/>
      </c>
      <c r="I23" s="19" t="str">
        <f>IF(AND(E9=0,COUNTIF(I20:I22,"x")&gt;0),"tối đa 0 dấu x",IF(COUNTIF(I20:I22,"x")&lt;=$B$23,"","tối đa "&amp;$B$23&amp;" dấu x"))</f>
        <v/>
      </c>
      <c r="J23" s="19" t="str">
        <f>IF(AND(E10=0,COUNTIF(J20:J22,"x")&gt;0),"tối đa 0 dấu x",IF(COUNTIF(J20:J22,"x")&lt;=$B$23,"","tối đa "&amp;$B$23&amp;" dấu x"))</f>
        <v/>
      </c>
      <c r="K23" s="19" t="str">
        <f>IF(AND(E11=0,COUNTIF(K20:K22,"x")&gt;0),"tối đa 0 dấu x", IF(COUNTIF(K20:K22,"x")&lt;=$B$23,"","tối đa "&amp;$B$23&amp;" dấu x"))</f>
        <v/>
      </c>
      <c r="L23" s="19" t="str">
        <f>IF(AND(E12=0,COUNTIF(L20:L22,"x")&gt;0),"tối đa 0 dấu x",IF(COUNTIF(L20:L22,"x")&lt;=B23,"","tối đa "&amp;B23&amp;" dấu x"))</f>
        <v/>
      </c>
      <c r="M23" s="19" t="str">
        <f>IF(AND(E14=0,COUNTIF(M20:M22,"x")&gt;0),"tối đa 0 dấu x",IF(COUNTIF(M20:M22,"x")&lt;=B23,"","tối đa "&amp;B23&amp;" dấu x"))</f>
        <v/>
      </c>
      <c r="N23" s="19" t="str">
        <f>IF(AND(E15=0,COUNTIF(N20:N22,"x")&gt;0),"tối đa 0 dấu x",IF(COUNTIF(N20:N22,"x")&lt;=$B$23,"","tối đa "&amp;B23&amp;" dấu x"))</f>
        <v/>
      </c>
      <c r="O23" s="19" t="str">
        <f>IF(AND(E16=0,COUNTIF(O20:O22,"x")&gt;0),"tối đa 0 dấu x",IF(COUNTIF(O22,"x")&lt;=$B$23,"","tối đa "&amp;$B$23&amp;" dấu x"))</f>
        <v/>
      </c>
      <c r="P23" s="20"/>
    </row>
  </sheetData>
  <protectedRanges>
    <protectedRange password="C6FB" sqref="B20:O22" name="Range1"/>
  </protectedRanges>
  <mergeCells count="5">
    <mergeCell ref="A2:B2"/>
    <mergeCell ref="A13:B13"/>
    <mergeCell ref="A18:B18"/>
    <mergeCell ref="C18:N18"/>
    <mergeCell ref="P18:P19"/>
  </mergeCells>
  <conditionalFormatting sqref="F3:F16 C23:O23">
    <cfRule type="notContainsBlanks" dxfId="1" priority="1">
      <formula>LEN(TRIM(F3))&gt;0</formula>
    </cfRule>
  </conditionalFormatting>
  <conditionalFormatting sqref="F3:F16">
    <cfRule type="notContainsBlanks" dxfId="0" priority="2">
      <formula>LEN(TRIM(F3))&gt;0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Hiếu Trần</cp:lastModifiedBy>
  <dcterms:created xsi:type="dcterms:W3CDTF">2021-01-04T05:59:15Z</dcterms:created>
  <dcterms:modified xsi:type="dcterms:W3CDTF">2021-01-05T07:14:12Z</dcterms:modified>
</cp:coreProperties>
</file>